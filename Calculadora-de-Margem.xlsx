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 Margem" sheetId="1" r:id="rId5"/>
  </sheets>
  <definedNames>
    <definedName localSheetId="0" name="solver_opt">'Calculadora Margem'!$C$15</definedName>
    <definedName localSheetId="0" name="solver_adj">'Calculadora Margem'!$C$11</definedName>
  </definedNames>
  <calcPr/>
</workbook>
</file>

<file path=xl/sharedStrings.xml><?xml version="1.0" encoding="utf-8"?>
<sst xmlns="http://schemas.openxmlformats.org/spreadsheetml/2006/main" count="17" uniqueCount="15">
  <si>
    <t>CALCULADORA DE MARGEM</t>
  </si>
  <si>
    <t>(preencha os campos em amarelo e receba os valores em verde)</t>
  </si>
  <si>
    <t>Descubra a margem e markup</t>
  </si>
  <si>
    <t>Descubra o preço de venda</t>
  </si>
  <si>
    <t>Tabela comparativa entre                         margem markup</t>
  </si>
  <si>
    <t>Preço de custo</t>
  </si>
  <si>
    <t>Preço de Custo</t>
  </si>
  <si>
    <t>Não use mais o Markup para precificar!</t>
  </si>
  <si>
    <t>Preço de venda</t>
  </si>
  <si>
    <t>Margem desejada</t>
  </si>
  <si>
    <t>USE SOMENTE A MARGEM!</t>
  </si>
  <si>
    <t>Lucro</t>
  </si>
  <si>
    <t>Preço de Venda</t>
  </si>
  <si>
    <t>Margem</t>
  </si>
  <si>
    <t>Markup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</si>
</sst>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#,##0%"/>
    <numFmt numFmtId="166" formatCode="0.000%"/>
    <numFmt numFmtId="167" formatCode="#,##0.0%"/>
  </numFmts>
  <fonts count="10">
    <font>
      <sz val="11.0"/>
      <color theme="1"/>
      <name val="Calibri"/>
      <scheme val="minor"/>
    </font>
    <font>
      <b/>
      <sz val="20.0"/>
      <color theme="0"/>
      <name val="Calibri"/>
    </font>
    <font/>
    <font>
      <sz val="10.0"/>
      <color theme="1"/>
      <name val="Calibri"/>
    </font>
    <font>
      <b/>
      <sz val="14.0"/>
      <color theme="0"/>
      <name val="Calibri"/>
    </font>
    <font>
      <sz val="11.0"/>
      <color theme="1"/>
      <name val="Calibri"/>
    </font>
    <font>
      <b/>
      <sz val="16.0"/>
      <color theme="0"/>
      <name val="Calibri"/>
    </font>
    <font>
      <sz val="11.0"/>
      <color theme="0"/>
      <name val="Calibri"/>
    </font>
    <font>
      <b/>
      <sz val="11.0"/>
      <color theme="0"/>
      <name val="Calibri"/>
    </font>
    <font>
      <b/>
      <sz val="14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E2AC00"/>
        <bgColor rgb="FFE2AC00"/>
      </patternFill>
    </fill>
    <fill>
      <patternFill patternType="solid">
        <fgColor rgb="FFFFFF00"/>
        <bgColor rgb="FFFFFF00"/>
      </patternFill>
    </fill>
    <fill>
      <patternFill patternType="solid">
        <fgColor rgb="FF222A35"/>
        <bgColor rgb="FF222A35"/>
      </patternFill>
    </fill>
    <fill>
      <patternFill patternType="solid">
        <fgColor rgb="FF385623"/>
        <bgColor rgb="FF385623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C55A11"/>
        <bgColor rgb="FFC55A11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1F3864"/>
        <bgColor rgb="FF1F3864"/>
      </patternFill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</fills>
  <borders count="2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4" fontId="4" numFmtId="0" xfId="0" applyAlignment="1" applyBorder="1" applyFill="1" applyFont="1">
      <alignment horizontal="center" vertical="center"/>
    </xf>
    <xf borderId="11" fillId="0" fontId="2" numFmtId="0" xfId="0" applyBorder="1" applyFont="1"/>
    <xf borderId="10" fillId="5" fontId="4" numFmtId="0" xfId="0" applyAlignment="1" applyBorder="1" applyFill="1" applyFont="1">
      <alignment horizontal="center" vertical="center"/>
    </xf>
    <xf borderId="0" fillId="0" fontId="5" numFmtId="164" xfId="0" applyFont="1" applyNumberFormat="1"/>
    <xf borderId="7" fillId="6" fontId="6" numFmtId="164" xfId="0" applyAlignment="1" applyBorder="1" applyFill="1" applyFont="1" applyNumberFormat="1">
      <alignment horizontal="center" shrinkToFit="0" wrapText="1"/>
    </xf>
    <xf borderId="12" fillId="4" fontId="4" numFmtId="0" xfId="0" applyAlignment="1" applyBorder="1" applyFont="1">
      <alignment horizontal="center" vertical="center"/>
    </xf>
    <xf borderId="13" fillId="4" fontId="4" numFmtId="0" xfId="0" applyAlignment="1" applyBorder="1" applyFont="1">
      <alignment horizontal="center" vertical="center"/>
    </xf>
    <xf borderId="12" fillId="5" fontId="4" numFmtId="0" xfId="0" applyAlignment="1" applyBorder="1" applyFont="1">
      <alignment horizontal="center" vertical="center"/>
    </xf>
    <xf borderId="13" fillId="5" fontId="4" numFmtId="0" xfId="0" applyAlignment="1" applyBorder="1" applyFont="1">
      <alignment horizontal="center" vertical="center"/>
    </xf>
    <xf borderId="14" fillId="7" fontId="6" numFmtId="164" xfId="0" applyAlignment="1" applyBorder="1" applyFill="1" applyFont="1" applyNumberFormat="1">
      <alignment horizontal="center" shrinkToFit="0" wrapText="1"/>
    </xf>
    <xf borderId="15" fillId="8" fontId="7" numFmtId="0" xfId="0" applyBorder="1" applyFill="1" applyFont="1"/>
    <xf borderId="16" fillId="3" fontId="5" numFmtId="164" xfId="0" applyBorder="1" applyFont="1" applyNumberFormat="1"/>
    <xf borderId="7" fillId="9" fontId="8" numFmtId="164" xfId="0" applyAlignment="1" applyBorder="1" applyFill="1" applyFont="1" applyNumberFormat="1">
      <alignment horizontal="center"/>
    </xf>
    <xf borderId="14" fillId="7" fontId="8" numFmtId="164" xfId="0" applyAlignment="1" applyBorder="1" applyFont="1" applyNumberFormat="1">
      <alignment horizontal="center"/>
    </xf>
    <xf borderId="16" fillId="3" fontId="5" numFmtId="9" xfId="0" applyBorder="1" applyFont="1" applyNumberFormat="1"/>
    <xf borderId="7" fillId="10" fontId="8" numFmtId="164" xfId="0" applyAlignment="1" applyBorder="1" applyFill="1" applyFont="1" applyNumberFormat="1">
      <alignment horizontal="center"/>
    </xf>
    <xf borderId="12" fillId="8" fontId="7" numFmtId="0" xfId="0" applyBorder="1" applyFont="1"/>
    <xf borderId="13" fillId="3" fontId="5" numFmtId="9" xfId="0" applyBorder="1" applyFont="1" applyNumberFormat="1"/>
    <xf borderId="15" fillId="11" fontId="7" numFmtId="0" xfId="0" applyBorder="1" applyFill="1" applyFont="1"/>
    <xf borderId="16" fillId="12" fontId="5" numFmtId="164" xfId="0" applyBorder="1" applyFill="1" applyFont="1" applyNumberFormat="1"/>
    <xf borderId="17" fillId="10" fontId="4" numFmtId="0" xfId="0" applyBorder="1" applyFont="1"/>
    <xf borderId="18" fillId="13" fontId="9" numFmtId="164" xfId="0" applyBorder="1" applyFill="1" applyFont="1" applyNumberFormat="1"/>
    <xf borderId="19" fillId="6" fontId="4" numFmtId="0" xfId="0" applyAlignment="1" applyBorder="1" applyFont="1">
      <alignment horizontal="center"/>
    </xf>
    <xf borderId="20" fillId="6" fontId="4" numFmtId="0" xfId="0" applyAlignment="1" applyBorder="1" applyFont="1">
      <alignment horizontal="center"/>
    </xf>
    <xf borderId="16" fillId="12" fontId="5" numFmtId="10" xfId="0" applyBorder="1" applyFont="1" applyNumberFormat="1"/>
    <xf borderId="12" fillId="14" fontId="5" numFmtId="9" xfId="0" applyAlignment="1" applyBorder="1" applyFill="1" applyFont="1" applyNumberFormat="1">
      <alignment horizontal="center" vertical="center"/>
    </xf>
    <xf borderId="13" fillId="14" fontId="5" numFmtId="165" xfId="0" applyAlignment="1" applyBorder="1" applyFont="1" applyNumberFormat="1">
      <alignment horizontal="center" vertical="center"/>
    </xf>
    <xf borderId="18" fillId="13" fontId="9" numFmtId="166" xfId="0" applyBorder="1" applyFont="1" applyNumberFormat="1"/>
    <xf borderId="21" fillId="0" fontId="5" numFmtId="9" xfId="0" applyAlignment="1" applyBorder="1" applyFont="1" applyNumberFormat="1">
      <alignment horizontal="center" vertical="center"/>
    </xf>
    <xf borderId="22" fillId="0" fontId="5" numFmtId="167" xfId="0" applyAlignment="1" applyBorder="1" applyFont="1" applyNumberFormat="1">
      <alignment horizontal="center" vertical="center"/>
    </xf>
    <xf borderId="13" fillId="14" fontId="5" numFmtId="167" xfId="0" applyAlignment="1" applyBorder="1" applyFont="1" applyNumberFormat="1">
      <alignment horizontal="center" vertical="center"/>
    </xf>
    <xf borderId="0" fillId="0" fontId="5" numFmtId="165" xfId="0" applyFont="1" applyNumberFormat="1"/>
    <xf borderId="22" fillId="0" fontId="5" numFmtId="165" xfId="0" applyAlignment="1" applyBorder="1" applyFont="1" applyNumberFormat="1">
      <alignment horizontal="center" vertical="center"/>
    </xf>
    <xf borderId="23" fillId="0" fontId="5" numFmtId="9" xfId="0" applyAlignment="1" applyBorder="1" applyFont="1" applyNumberFormat="1">
      <alignment horizontal="center" vertical="center"/>
    </xf>
    <xf borderId="24" fillId="0" fontId="5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95250</xdr:rowOff>
    </xdr:from>
    <xdr:ext cx="2200275" cy="1047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0</xdr:row>
      <xdr:rowOff>152400</xdr:rowOff>
    </xdr:from>
    <xdr:ext cx="2209800" cy="10382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0.57"/>
    <col customWidth="1" min="2" max="2" width="23.0"/>
    <col customWidth="1" min="3" max="3" width="14.57"/>
    <col customWidth="1" min="4" max="4" width="9.71"/>
    <col customWidth="1" min="5" max="5" width="26.14"/>
    <col customWidth="1" min="6" max="6" width="15.86"/>
    <col customWidth="1" min="7" max="7" width="3.71"/>
    <col customWidth="1" min="8" max="8" width="3.29"/>
    <col customWidth="1" min="9" max="9" width="2.57"/>
    <col customWidth="1" min="10" max="10" width="5.0"/>
    <col customWidth="1" min="11" max="11" width="10.86"/>
    <col customWidth="1" min="12" max="12" width="11.71"/>
    <col customWidth="1" min="13" max="13" width="1.14"/>
    <col customWidth="1" min="14" max="14" width="3.71"/>
    <col customWidth="1" min="15" max="15" width="2.57"/>
    <col customWidth="1" min="16" max="26" width="8.71"/>
  </cols>
  <sheetData>
    <row r="2">
      <c r="D2" s="1" t="s">
        <v>0</v>
      </c>
      <c r="E2" s="2"/>
      <c r="F2" s="2"/>
      <c r="G2" s="3"/>
    </row>
    <row r="3" ht="25.5" customHeight="1">
      <c r="D3" s="4"/>
      <c r="E3" s="5"/>
      <c r="F3" s="5"/>
      <c r="G3" s="6"/>
    </row>
    <row r="4" ht="25.5" customHeight="1">
      <c r="D4" s="7" t="s">
        <v>1</v>
      </c>
      <c r="E4" s="8"/>
      <c r="F4" s="8"/>
      <c r="G4" s="9"/>
    </row>
    <row r="6" ht="1.5" customHeight="1"/>
    <row r="7" ht="41.25" customHeight="1">
      <c r="B7" s="10" t="s">
        <v>2</v>
      </c>
      <c r="C7" s="11"/>
      <c r="E7" s="12" t="s">
        <v>3</v>
      </c>
      <c r="F7" s="11"/>
      <c r="I7" s="13"/>
      <c r="J7" s="14" t="s">
        <v>4</v>
      </c>
      <c r="K7" s="8"/>
      <c r="L7" s="8"/>
      <c r="M7" s="8"/>
      <c r="N7" s="8"/>
      <c r="O7" s="9"/>
    </row>
    <row r="8" ht="6.0" customHeight="1">
      <c r="B8" s="15"/>
      <c r="C8" s="16"/>
      <c r="E8" s="17"/>
      <c r="F8" s="18"/>
      <c r="I8" s="13"/>
      <c r="J8" s="19"/>
      <c r="K8" s="19"/>
      <c r="L8" s="19"/>
      <c r="M8" s="19"/>
      <c r="N8" s="19"/>
      <c r="O8" s="19"/>
    </row>
    <row r="9">
      <c r="B9" s="20" t="s">
        <v>5</v>
      </c>
      <c r="C9" s="21">
        <v>2.99</v>
      </c>
      <c r="E9" s="20" t="s">
        <v>6</v>
      </c>
      <c r="F9" s="21">
        <v>2.99</v>
      </c>
      <c r="I9" s="13"/>
      <c r="J9" s="22" t="s">
        <v>7</v>
      </c>
      <c r="K9" s="8"/>
      <c r="L9" s="8"/>
      <c r="M9" s="8"/>
      <c r="N9" s="8"/>
      <c r="O9" s="9"/>
    </row>
    <row r="10" ht="5.25" hidden="1" customHeight="1">
      <c r="B10" s="20"/>
      <c r="C10" s="21"/>
      <c r="E10" s="20"/>
      <c r="F10" s="21"/>
      <c r="I10" s="13"/>
      <c r="J10" s="23"/>
      <c r="K10" s="23"/>
      <c r="L10" s="23"/>
      <c r="M10" s="23"/>
      <c r="N10" s="23"/>
      <c r="O10" s="23"/>
    </row>
    <row r="11">
      <c r="B11" s="20" t="s">
        <v>8</v>
      </c>
      <c r="C11" s="21">
        <v>4.98</v>
      </c>
      <c r="E11" s="20" t="s">
        <v>9</v>
      </c>
      <c r="F11" s="24">
        <v>0.4</v>
      </c>
      <c r="I11" s="13"/>
      <c r="J11" s="25" t="s">
        <v>10</v>
      </c>
      <c r="K11" s="8"/>
      <c r="L11" s="8"/>
      <c r="M11" s="8"/>
      <c r="N11" s="8"/>
      <c r="O11" s="9"/>
    </row>
    <row r="12" ht="14.25" hidden="1" customHeight="1">
      <c r="B12" s="20"/>
      <c r="C12" s="21"/>
      <c r="E12" s="26"/>
      <c r="F12" s="27"/>
      <c r="I12" s="13"/>
      <c r="J12" s="23"/>
      <c r="K12" s="23"/>
      <c r="L12" s="23"/>
      <c r="M12" s="23"/>
      <c r="N12" s="23"/>
      <c r="O12" s="23"/>
    </row>
    <row r="13">
      <c r="B13" s="28" t="s">
        <v>11</v>
      </c>
      <c r="C13" s="29">
        <f>C11-C9</f>
        <v>1.99</v>
      </c>
      <c r="E13" s="30" t="s">
        <v>12</v>
      </c>
      <c r="F13" s="31">
        <f>F9/(1-F11)</f>
        <v>4.983333333</v>
      </c>
      <c r="I13" s="13"/>
      <c r="J13" s="13"/>
      <c r="K13" s="32" t="s">
        <v>13</v>
      </c>
      <c r="L13" s="33" t="s">
        <v>14</v>
      </c>
    </row>
    <row r="14">
      <c r="B14" s="28" t="s">
        <v>14</v>
      </c>
      <c r="C14" s="34">
        <f>IFERROR(((C13/C9)),"")</f>
        <v>0.6655518395</v>
      </c>
      <c r="I14" s="13"/>
      <c r="J14" s="13"/>
      <c r="K14" s="35">
        <v>0.2</v>
      </c>
      <c r="L14" s="36">
        <v>0.25</v>
      </c>
    </row>
    <row r="15">
      <c r="B15" s="30" t="s">
        <v>13</v>
      </c>
      <c r="C15" s="37">
        <f>IFERROR(((C13/C11)),"")</f>
        <v>0.3995983936</v>
      </c>
      <c r="I15" s="13"/>
      <c r="J15" s="13"/>
      <c r="K15" s="38">
        <v>0.21</v>
      </c>
      <c r="L15" s="39">
        <v>0.2658</v>
      </c>
    </row>
    <row r="16">
      <c r="I16" s="13"/>
      <c r="J16" s="13"/>
      <c r="K16" s="35">
        <v>0.22</v>
      </c>
      <c r="L16" s="40">
        <v>0.2821</v>
      </c>
    </row>
    <row r="17">
      <c r="I17" s="13"/>
      <c r="J17" s="13"/>
      <c r="K17" s="38">
        <v>0.23</v>
      </c>
      <c r="L17" s="39">
        <v>0.2987</v>
      </c>
    </row>
    <row r="18">
      <c r="I18" s="13"/>
      <c r="J18" s="13"/>
      <c r="K18" s="35">
        <v>0.24</v>
      </c>
      <c r="L18" s="40">
        <v>0.31579999999999997</v>
      </c>
    </row>
    <row r="19">
      <c r="I19" s="13"/>
      <c r="J19" s="13"/>
      <c r="K19" s="38">
        <v>0.25</v>
      </c>
      <c r="L19" s="39">
        <v>0.3333</v>
      </c>
    </row>
    <row r="20">
      <c r="I20" s="13"/>
      <c r="J20" s="41"/>
      <c r="K20" s="35">
        <v>0.3</v>
      </c>
      <c r="L20" s="40">
        <v>0.4286</v>
      </c>
    </row>
    <row r="21" ht="15.75" customHeight="1">
      <c r="I21" s="13"/>
      <c r="J21" s="41"/>
      <c r="K21" s="38">
        <v>0.4</v>
      </c>
      <c r="L21" s="39">
        <v>0.6667000000000001</v>
      </c>
    </row>
    <row r="22" ht="15.75" customHeight="1">
      <c r="I22" s="13"/>
      <c r="K22" s="35">
        <v>0.5</v>
      </c>
      <c r="L22" s="36">
        <v>1.0</v>
      </c>
    </row>
    <row r="23" ht="16.5" customHeight="1">
      <c r="I23" s="13"/>
      <c r="K23" s="38">
        <v>0.6</v>
      </c>
      <c r="L23" s="42">
        <v>1.5</v>
      </c>
    </row>
    <row r="24" ht="15.75" customHeight="1">
      <c r="K24" s="35">
        <v>0.7</v>
      </c>
      <c r="L24" s="36">
        <v>2.34</v>
      </c>
    </row>
    <row r="25" ht="15.75" customHeight="1">
      <c r="K25" s="38">
        <v>0.8</v>
      </c>
      <c r="L25" s="42">
        <v>4.0</v>
      </c>
    </row>
    <row r="26" ht="15.75" customHeight="1">
      <c r="K26" s="35">
        <v>0.9</v>
      </c>
      <c r="L26" s="36">
        <v>9.0</v>
      </c>
    </row>
    <row r="27" ht="15.75" customHeight="1">
      <c r="K27" s="43">
        <v>1.0</v>
      </c>
      <c r="L27" s="44">
        <v>199999.0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D2:G3"/>
    <mergeCell ref="D4:G4"/>
    <mergeCell ref="B7:C7"/>
    <mergeCell ref="E7:F7"/>
    <mergeCell ref="J7:O7"/>
    <mergeCell ref="J9:O9"/>
    <mergeCell ref="J11:O11"/>
  </mergeCells>
  <printOptions horizontalCentered="1"/>
  <pageMargins bottom="0.7874015748031497" footer="0.0" header="0.0" left="0.5118110236220472" right="0.5118110236220472" top="0.7874015748031497"/>
  <pageSetup paperSize="9" scale="160" orientation="portrait"/>
  <drawing r:id="rId1"/>
</worksheet>
</file>